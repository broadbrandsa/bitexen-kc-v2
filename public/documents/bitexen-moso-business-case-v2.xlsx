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 McGuire\Downloads\"/>
    </mc:Choice>
  </mc:AlternateContent>
  <xr:revisionPtr revIDLastSave="0" documentId="13_ncr:1_{8BD4C04E-80E9-409E-9E71-2909DC4322EB}" xr6:coauthVersionLast="47" xr6:coauthVersionMax="47" xr10:uidLastSave="{00000000-0000-0000-0000-000000000000}"/>
  <bookViews>
    <workbookView xWindow="-108" yWindow="-108" windowWidth="23256" windowHeight="12456" xr2:uid="{69F3CCCE-2932-4288-B830-DDA41633633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2" l="1"/>
  <c r="M21" i="2"/>
  <c r="L21" i="2"/>
  <c r="K21" i="2"/>
  <c r="J21" i="2"/>
  <c r="E21" i="2"/>
  <c r="F21" i="2"/>
  <c r="G21" i="2"/>
  <c r="H21" i="2"/>
  <c r="I21" i="2"/>
  <c r="D21" i="2"/>
  <c r="C21" i="2"/>
  <c r="B21" i="2"/>
  <c r="P20" i="2"/>
  <c r="P8" i="2"/>
  <c r="K3" i="2" l="1"/>
  <c r="K4" i="2" s="1"/>
  <c r="K18" i="2" s="1"/>
  <c r="F3" i="2"/>
  <c r="E3" i="2"/>
  <c r="K20" i="2"/>
  <c r="K9" i="2"/>
  <c r="K5" i="2"/>
  <c r="K19" i="2" s="1"/>
  <c r="D3" i="2"/>
  <c r="L3" i="2"/>
  <c r="M3" i="2"/>
  <c r="C3" i="2"/>
  <c r="G3" i="2"/>
  <c r="H3" i="2"/>
  <c r="I3" i="2"/>
  <c r="J3" i="2"/>
  <c r="B3" i="2"/>
  <c r="L4" i="2" l="1"/>
  <c r="L14" i="2"/>
  <c r="I4" i="2"/>
  <c r="I14" i="2"/>
  <c r="H4" i="2"/>
  <c r="H14" i="2"/>
  <c r="G4" i="2"/>
  <c r="G14" i="2"/>
  <c r="F4" i="2"/>
  <c r="F14" i="2"/>
  <c r="E4" i="2"/>
  <c r="E14" i="2"/>
  <c r="C4" i="2"/>
  <c r="C14" i="2"/>
  <c r="M4" i="2"/>
  <c r="M14" i="2"/>
  <c r="D4" i="2"/>
  <c r="D14" i="2"/>
  <c r="B4" i="2"/>
  <c r="B14" i="2"/>
  <c r="J4" i="2"/>
  <c r="J14" i="2"/>
  <c r="K14" i="2"/>
  <c r="B9" i="2"/>
  <c r="K10" i="2"/>
  <c r="K8" i="2"/>
  <c r="K11" i="2" l="1"/>
  <c r="K17" i="2"/>
  <c r="K22" i="2" s="1"/>
  <c r="K29" i="2" s="1"/>
  <c r="E9" i="2"/>
  <c r="E18" i="2"/>
  <c r="E20" i="2"/>
  <c r="F17" i="2"/>
  <c r="F5" i="2"/>
  <c r="F19" i="2" s="1"/>
  <c r="F20" i="2"/>
  <c r="F18" i="2"/>
  <c r="G17" i="2"/>
  <c r="G22" i="2" s="1"/>
  <c r="G29" i="2" s="1"/>
  <c r="B5" i="2"/>
  <c r="B19" i="2" s="1"/>
  <c r="B20" i="2"/>
  <c r="B18" i="2"/>
  <c r="G9" i="2"/>
  <c r="G18" i="2"/>
  <c r="G20" i="2"/>
  <c r="H17" i="2"/>
  <c r="D18" i="2"/>
  <c r="D20" i="2"/>
  <c r="D9" i="2"/>
  <c r="M9" i="2"/>
  <c r="M20" i="2"/>
  <c r="M18" i="2"/>
  <c r="L17" i="2"/>
  <c r="E17" i="2"/>
  <c r="J17" i="2"/>
  <c r="J9" i="2"/>
  <c r="J18" i="2"/>
  <c r="J20" i="2"/>
  <c r="B17" i="2"/>
  <c r="D17" i="2"/>
  <c r="H9" i="2"/>
  <c r="H18" i="2"/>
  <c r="H20" i="2"/>
  <c r="D5" i="2"/>
  <c r="D19" i="2" s="1"/>
  <c r="M17" i="2"/>
  <c r="I17" i="2"/>
  <c r="I5" i="2"/>
  <c r="I19" i="2" s="1"/>
  <c r="I18" i="2"/>
  <c r="I20" i="2"/>
  <c r="I9" i="2"/>
  <c r="C17" i="2"/>
  <c r="M5" i="2"/>
  <c r="M19" i="2" s="1"/>
  <c r="C9" i="2"/>
  <c r="C20" i="2"/>
  <c r="C18" i="2"/>
  <c r="L5" i="2"/>
  <c r="L19" i="2" s="1"/>
  <c r="L18" i="2"/>
  <c r="L20" i="2"/>
  <c r="H5" i="2"/>
  <c r="H19" i="2" s="1"/>
  <c r="L9" i="2"/>
  <c r="C5" i="2"/>
  <c r="C19" i="2" s="1"/>
  <c r="F9" i="2"/>
  <c r="E5" i="2"/>
  <c r="G5" i="2"/>
  <c r="G19" i="2" s="1"/>
  <c r="J5" i="2"/>
  <c r="J19" i="2" s="1"/>
  <c r="J8" i="2" l="1"/>
  <c r="L22" i="2"/>
  <c r="L29" i="2" s="1"/>
  <c r="K24" i="2"/>
  <c r="C22" i="2"/>
  <c r="C29" i="2" s="1"/>
  <c r="B22" i="2"/>
  <c r="B29" i="2" s="1"/>
  <c r="F22" i="2"/>
  <c r="F29" i="2" s="1"/>
  <c r="M22" i="2"/>
  <c r="M29" i="2" s="1"/>
  <c r="H22" i="2"/>
  <c r="H29" i="2" s="1"/>
  <c r="D22" i="2"/>
  <c r="D29" i="2" s="1"/>
  <c r="J22" i="2"/>
  <c r="J29" i="2" s="1"/>
  <c r="I22" i="2"/>
  <c r="I29" i="2" s="1"/>
  <c r="C8" i="2"/>
  <c r="C10" i="2"/>
  <c r="I10" i="2"/>
  <c r="K31" i="2"/>
  <c r="I8" i="2"/>
  <c r="L10" i="2"/>
  <c r="D8" i="2"/>
  <c r="J10" i="2"/>
  <c r="G8" i="2"/>
  <c r="D10" i="2"/>
  <c r="F8" i="2"/>
  <c r="G10" i="2"/>
  <c r="F10" i="2"/>
  <c r="L8" i="2"/>
  <c r="M8" i="2"/>
  <c r="E10" i="2"/>
  <c r="E19" i="2"/>
  <c r="M10" i="2"/>
  <c r="B8" i="2"/>
  <c r="H8" i="2"/>
  <c r="B10" i="2"/>
  <c r="H10" i="2"/>
  <c r="E8" i="2"/>
  <c r="J11" i="2" l="1"/>
  <c r="J24" i="2" s="1"/>
  <c r="E22" i="2"/>
  <c r="E29" i="2" s="1"/>
  <c r="C11" i="2"/>
  <c r="I11" i="2"/>
  <c r="D11" i="2"/>
  <c r="F11" i="2"/>
  <c r="G11" i="2"/>
  <c r="L11" i="2"/>
  <c r="E11" i="2"/>
  <c r="H11" i="2"/>
  <c r="M11" i="2"/>
  <c r="B11" i="2"/>
  <c r="J31" i="2" l="1"/>
  <c r="E24" i="2"/>
  <c r="M31" i="2"/>
  <c r="M24" i="2"/>
  <c r="H31" i="2"/>
  <c r="H24" i="2"/>
  <c r="L31" i="2"/>
  <c r="L24" i="2"/>
  <c r="G31" i="2"/>
  <c r="G24" i="2"/>
  <c r="F31" i="2"/>
  <c r="F24" i="2"/>
  <c r="D31" i="2"/>
  <c r="D24" i="2"/>
  <c r="I31" i="2"/>
  <c r="I24" i="2"/>
  <c r="C31" i="2"/>
  <c r="C24" i="2"/>
  <c r="B31" i="2"/>
  <c r="B24" i="2"/>
  <c r="E31" i="2"/>
</calcChain>
</file>

<file path=xl/sharedStrings.xml><?xml version="1.0" encoding="utf-8"?>
<sst xmlns="http://schemas.openxmlformats.org/spreadsheetml/2006/main" count="53" uniqueCount="47">
  <si>
    <t>Penetration</t>
  </si>
  <si>
    <t>SMS OTP</t>
  </si>
  <si>
    <t>Average Transactional size</t>
  </si>
  <si>
    <t>Total Penetration at year 1</t>
  </si>
  <si>
    <t>Opera Mini Customer Base</t>
  </si>
  <si>
    <t>Av Transactions per user</t>
  </si>
  <si>
    <t>Number of Transactions</t>
  </si>
  <si>
    <t>Total Revenue</t>
  </si>
  <si>
    <t>Total Volume</t>
  </si>
  <si>
    <t>Fixed withdrawal fee</t>
  </si>
  <si>
    <t>Maker / taker fee</t>
  </si>
  <si>
    <t>Revenue</t>
  </si>
  <si>
    <t>Cost Assumptions</t>
  </si>
  <si>
    <t>Retention rate</t>
  </si>
  <si>
    <t>New Customer Verification Cost</t>
  </si>
  <si>
    <t>Customer Verification</t>
  </si>
  <si>
    <t>OTP SMS Cost</t>
  </si>
  <si>
    <t>FX Conversion Revenue</t>
  </si>
  <si>
    <t>Working Capital Funding Cost</t>
  </si>
  <si>
    <t>Celo chain withdrawal fee</t>
  </si>
  <si>
    <t>Server Costs</t>
  </si>
  <si>
    <t>ZAR / USD Price</t>
  </si>
  <si>
    <t>Ongoing Maintenance</t>
  </si>
  <si>
    <t>Total Cost</t>
  </si>
  <si>
    <t>Total PnL</t>
  </si>
  <si>
    <t>Levers:</t>
  </si>
  <si>
    <t>User base assumptions</t>
  </si>
  <si>
    <t>Revenue Assumptions</t>
  </si>
  <si>
    <t xml:space="preserve">New Customers </t>
  </si>
  <si>
    <t>Variable Costs</t>
  </si>
  <si>
    <t>Fixed Costs</t>
  </si>
  <si>
    <t>Contribution Profit</t>
  </si>
  <si>
    <t>Total Variables</t>
  </si>
  <si>
    <t>Number of Active Users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</si>
  <si>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</si>
  <si>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</si>
  <si>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</si>
  <si>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</si>
  <si>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</si>
  <si>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</si>
  <si>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</si>
  <si>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</si>
  <si>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</si>
  <si>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</si>
  <si>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</si>
  <si>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</si>
  <si>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Active Users - Month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</si>
</sst>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&quot;R&quot;#,##0.00"/>
    <numFmt numFmtId="165" formatCode="&quot;R&quot;#,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3" fontId="0" fillId="0" borderId="0" xfId="0" applyNumberFormat="1"/>
    <xf numFmtId="165" fontId="0" fillId="0" borderId="0" xfId="0" applyNumberFormat="1" applyAlignment="1">
      <alignment horizontal="right" vertical="center"/>
    </xf>
    <xf numFmtId="0" fontId="2" fillId="0" borderId="0" xfId="0" applyFont="1"/>
    <xf numFmtId="165" fontId="0" fillId="0" borderId="0" xfId="0" applyNumberFormat="1"/>
    <xf numFmtId="0" fontId="2" fillId="2" borderId="0" xfId="0" applyFont="1" applyFill="1"/>
    <xf numFmtId="17" fontId="0" fillId="5" borderId="0" xfId="0" applyNumberFormat="1" applyFill="1" applyAlignment="1">
      <alignment horizontal="right" vertical="center"/>
    </xf>
    <xf numFmtId="0" fontId="0" fillId="2" borderId="0" xfId="0" applyFill="1"/>
    <xf numFmtId="0" fontId="2" fillId="3" borderId="4" xfId="0" applyFont="1" applyFill="1" applyBorder="1"/>
    <xf numFmtId="0" fontId="0" fillId="3" borderId="5" xfId="0" applyFill="1" applyBorder="1"/>
    <xf numFmtId="0" fontId="0" fillId="4" borderId="4" xfId="0" applyFill="1" applyBorder="1"/>
    <xf numFmtId="0" fontId="0" fillId="4" borderId="5" xfId="0" applyFill="1" applyBorder="1" applyAlignment="1">
      <alignment horizontal="left"/>
    </xf>
    <xf numFmtId="3" fontId="0" fillId="4" borderId="5" xfId="0" applyNumberFormat="1" applyFill="1" applyBorder="1" applyAlignment="1">
      <alignment horizontal="left"/>
    </xf>
    <xf numFmtId="10" fontId="0" fillId="4" borderId="5" xfId="0" applyNumberFormat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9" fontId="0" fillId="4" borderId="5" xfId="0" applyNumberFormat="1" applyFill="1" applyBorder="1" applyAlignment="1">
      <alignment horizontal="left"/>
    </xf>
    <xf numFmtId="164" fontId="0" fillId="4" borderId="5" xfId="0" applyNumberForma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165" fontId="0" fillId="4" borderId="5" xfId="0" applyNumberFormat="1" applyFill="1" applyBorder="1" applyAlignment="1">
      <alignment horizontal="left"/>
    </xf>
    <xf numFmtId="0" fontId="0" fillId="4" borderId="6" xfId="0" applyFill="1" applyBorder="1"/>
    <xf numFmtId="165" fontId="0" fillId="4" borderId="7" xfId="0" applyNumberFormat="1" applyFill="1" applyBorder="1" applyAlignment="1">
      <alignment horizontal="left"/>
    </xf>
    <xf numFmtId="165" fontId="1" fillId="6" borderId="1" xfId="0" applyNumberFormat="1" applyFont="1" applyFill="1" applyBorder="1" applyAlignment="1">
      <alignment horizontal="right" vertical="center"/>
    </xf>
    <xf numFmtId="6" fontId="1" fillId="6" borderId="3" xfId="0" applyNumberFormat="1" applyFont="1" applyFill="1" applyBorder="1"/>
    <xf numFmtId="165" fontId="0" fillId="0" borderId="1" xfId="0" applyNumberFormat="1" applyBorder="1" applyAlignment="1">
      <alignment horizontal="right" vertical="center"/>
    </xf>
    <xf numFmtId="165" fontId="1" fillId="6" borderId="8" xfId="0" applyNumberFormat="1" applyFont="1" applyFill="1" applyBorder="1" applyAlignment="1">
      <alignment horizontal="right" vertical="center"/>
    </xf>
    <xf numFmtId="165" fontId="1" fillId="6" borderId="8" xfId="0" applyNumberFormat="1" applyFont="1" applyFill="1" applyBorder="1"/>
    <xf numFmtId="165" fontId="1" fillId="2" borderId="0" xfId="0" applyNumberFormat="1" applyFont="1" applyFill="1"/>
    <xf numFmtId="6" fontId="1" fillId="6" borderId="2" xfId="0" applyNumberFormat="1" applyFont="1" applyFill="1" applyBorder="1"/>
    <xf numFmtId="1" fontId="0" fillId="4" borderId="5" xfId="0" applyNumberFormat="1" applyFill="1" applyBorder="1" applyAlignment="1">
      <alignment horizontal="left"/>
    </xf>
    <xf numFmtId="0" fontId="3" fillId="5" borderId="9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A736-F132-4A35-9D06-AE6B510F1508}">
  <dimension ref="A1:P32"/>
  <sheetViews>
    <sheetView showGridLines="0" tabSelected="1" zoomScale="85" zoomScaleNormal="85" workbookViewId="0">
      <pane xSplit="1" topLeftCell="B1" activePane="topRight" state="frozen"/>
      <selection pane="topRight" activeCell="O9" sqref="O9"/>
    </sheetView>
  </sheetViews>
  <sheetFormatPr defaultRowHeight="14.4" x14ac:dyDescent="0.3"/>
  <cols>
    <col min="1" max="1" width="30" customWidth="1"/>
    <col min="2" max="3" width="15.44140625" customWidth="1"/>
    <col min="4" max="4" width="14.88671875" customWidth="1"/>
    <col min="5" max="5" width="16" customWidth="1"/>
    <col min="6" max="6" width="14.88671875" customWidth="1"/>
    <col min="7" max="7" width="16" customWidth="1"/>
    <col min="8" max="8" width="15.21875" customWidth="1"/>
    <col min="9" max="9" width="15.88671875" customWidth="1"/>
    <col min="10" max="10" width="17.77734375" customWidth="1"/>
    <col min="11" max="11" width="18.109375" customWidth="1"/>
    <col min="12" max="12" width="17.77734375" customWidth="1"/>
    <col min="13" max="13" width="18.109375" customWidth="1"/>
    <col min="14" max="14" width="3.6640625" customWidth="1"/>
    <col min="15" max="15" width="29.6640625" customWidth="1"/>
    <col min="16" max="16" width="11.21875" bestFit="1" customWidth="1"/>
  </cols>
  <sheetData>
    <row r="1" spans="1:16" ht="15" thickBot="1" x14ac:dyDescent="0.35"/>
    <row r="2" spans="1:16" ht="16.2" thickBot="1" x14ac:dyDescent="0.35">
      <c r="B2" s="8" t="s">
        <v>34</v>
      </c>
      <c r="C2" s="8" t="s">
        <v>35</v>
      </c>
      <c r="D2" s="8" t="s">
        <v>36</v>
      </c>
      <c r="E2" s="8" t="s">
        <v>37</v>
      </c>
      <c r="F2" s="8" t="s">
        <v>38</v>
      </c>
      <c r="G2" s="8" t="s">
        <v>39</v>
      </c>
      <c r="H2" s="8" t="s">
        <v>40</v>
      </c>
      <c r="I2" s="8" t="s">
        <v>41</v>
      </c>
      <c r="J2" s="8" t="s">
        <v>42</v>
      </c>
      <c r="K2" s="8" t="s">
        <v>43</v>
      </c>
      <c r="L2" s="8" t="s">
        <v>44</v>
      </c>
      <c r="M2" s="8" t="s">
        <v>45</v>
      </c>
      <c r="N2" s="9"/>
      <c r="O2" s="31" t="s">
        <v>25</v>
      </c>
      <c r="P2" s="32"/>
    </row>
    <row r="3" spans="1:16" ht="16.8" customHeight="1" x14ac:dyDescent="0.3">
      <c r="A3" t="s">
        <v>33</v>
      </c>
      <c r="B3" s="1">
        <f>P8*0.001</f>
        <v>120</v>
      </c>
      <c r="C3" s="1">
        <f>P8*0.005</f>
        <v>600</v>
      </c>
      <c r="D3" s="1">
        <f>P8*0.01</f>
        <v>1200</v>
      </c>
      <c r="E3" s="1">
        <f>P8*0.035</f>
        <v>4200</v>
      </c>
      <c r="F3" s="1">
        <f>P8*0.07</f>
        <v>8400</v>
      </c>
      <c r="G3" s="1">
        <f>P8*0.1</f>
        <v>12000</v>
      </c>
      <c r="H3" s="1">
        <f>P8*0.2</f>
        <v>24000</v>
      </c>
      <c r="I3" s="1">
        <f>P8*0.3</f>
        <v>36000</v>
      </c>
      <c r="J3" s="1">
        <f>P8*0.4</f>
        <v>48000</v>
      </c>
      <c r="K3" s="1">
        <f>P8*0.6</f>
        <v>72000</v>
      </c>
      <c r="L3" s="1">
        <f>P8*0.8</f>
        <v>96000</v>
      </c>
      <c r="M3" s="1">
        <f>P8*1</f>
        <v>120000</v>
      </c>
      <c r="O3" s="10" t="s">
        <v>26</v>
      </c>
      <c r="P3" s="11"/>
    </row>
    <row r="4" spans="1:16" x14ac:dyDescent="0.3">
      <c r="A4" t="s">
        <v>6</v>
      </c>
      <c r="B4" s="1">
        <f>B3*P11</f>
        <v>210</v>
      </c>
      <c r="C4" s="1">
        <f>C3*P11</f>
        <v>1050</v>
      </c>
      <c r="D4" s="1">
        <f>D3*P11</f>
        <v>2100</v>
      </c>
      <c r="E4" s="1">
        <f>E3*P11</f>
        <v>7350</v>
      </c>
      <c r="F4" s="1">
        <f>F3*P11</f>
        <v>14700</v>
      </c>
      <c r="G4" s="1">
        <f>G3*P11</f>
        <v>21000</v>
      </c>
      <c r="H4" s="1">
        <f>H3*P11</f>
        <v>42000</v>
      </c>
      <c r="I4" s="1">
        <f>I3*P11</f>
        <v>63000</v>
      </c>
      <c r="J4" s="1">
        <f>J3*P11</f>
        <v>84000</v>
      </c>
      <c r="K4" s="1">
        <f>K3*P11</f>
        <v>126000</v>
      </c>
      <c r="L4" s="1">
        <f>L3*P11</f>
        <v>168000</v>
      </c>
      <c r="M4" s="1">
        <f>M3*P11</f>
        <v>210000</v>
      </c>
      <c r="O4" s="12" t="s">
        <v>2</v>
      </c>
      <c r="P4" s="30">
        <v>500</v>
      </c>
    </row>
    <row r="5" spans="1:16" x14ac:dyDescent="0.3">
      <c r="A5" t="s">
        <v>8</v>
      </c>
      <c r="B5" s="26">
        <f>B4*P4</f>
        <v>105000</v>
      </c>
      <c r="C5" s="26">
        <f>C4*P4</f>
        <v>525000</v>
      </c>
      <c r="D5" s="26">
        <f>D4*P4</f>
        <v>1050000</v>
      </c>
      <c r="E5" s="26">
        <f>E4*P4</f>
        <v>3675000</v>
      </c>
      <c r="F5" s="26">
        <f>F4*P4</f>
        <v>7350000</v>
      </c>
      <c r="G5" s="26">
        <f>G4*P4</f>
        <v>10500000</v>
      </c>
      <c r="H5" s="26">
        <f>H4*P4</f>
        <v>21000000</v>
      </c>
      <c r="I5" s="26">
        <f>I4*P4</f>
        <v>31500000</v>
      </c>
      <c r="J5" s="26">
        <f>J4*P4</f>
        <v>42000000</v>
      </c>
      <c r="K5" s="26">
        <f>K4*P4</f>
        <v>63000000</v>
      </c>
      <c r="L5" s="26">
        <f>L4*P4</f>
        <v>84000000</v>
      </c>
      <c r="M5" s="26">
        <f>M4*P4</f>
        <v>105000000</v>
      </c>
      <c r="O5" s="12" t="s">
        <v>3</v>
      </c>
      <c r="P5" s="13"/>
    </row>
    <row r="6" spans="1:16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O6" s="12" t="s">
        <v>4</v>
      </c>
      <c r="P6" s="14">
        <v>6000000</v>
      </c>
    </row>
    <row r="7" spans="1:16" x14ac:dyDescent="0.3">
      <c r="A7" t="s">
        <v>11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O7" s="12" t="s">
        <v>0</v>
      </c>
      <c r="P7" s="15">
        <v>0.02</v>
      </c>
    </row>
    <row r="8" spans="1:16" x14ac:dyDescent="0.3">
      <c r="A8" t="s">
        <v>17</v>
      </c>
      <c r="B8" s="4">
        <f>B5*P12</f>
        <v>1050</v>
      </c>
      <c r="C8" s="4">
        <f>C5*P12</f>
        <v>5250</v>
      </c>
      <c r="D8" s="4">
        <f>D5*P12</f>
        <v>10500</v>
      </c>
      <c r="E8" s="4">
        <f>E5*P12</f>
        <v>36750</v>
      </c>
      <c r="F8" s="4">
        <f>F5*P12</f>
        <v>73500</v>
      </c>
      <c r="G8" s="4">
        <f>G5*P12</f>
        <v>105000</v>
      </c>
      <c r="H8" s="4">
        <f>H5*P12</f>
        <v>210000</v>
      </c>
      <c r="I8" s="4">
        <f>I5*P12</f>
        <v>315000</v>
      </c>
      <c r="J8" s="4">
        <f>J5*P12</f>
        <v>420000</v>
      </c>
      <c r="K8" s="4">
        <f>K5*P12</f>
        <v>630000</v>
      </c>
      <c r="L8" s="4">
        <f>L5*P12</f>
        <v>840000</v>
      </c>
      <c r="M8" s="4">
        <f>M5*P12</f>
        <v>1050000</v>
      </c>
      <c r="O8" s="12" t="s">
        <v>46</v>
      </c>
      <c r="P8" s="14">
        <f>P6*P7</f>
        <v>120000</v>
      </c>
    </row>
    <row r="9" spans="1:16" x14ac:dyDescent="0.3">
      <c r="A9" t="s">
        <v>9</v>
      </c>
      <c r="B9" s="4">
        <f>B4*P13</f>
        <v>630</v>
      </c>
      <c r="C9" s="4">
        <f>C4*P13</f>
        <v>3150</v>
      </c>
      <c r="D9" s="4">
        <f>D4*P13</f>
        <v>6300</v>
      </c>
      <c r="E9" s="4">
        <f>E4*P13</f>
        <v>22050</v>
      </c>
      <c r="F9" s="4">
        <f>F4*P13</f>
        <v>44100</v>
      </c>
      <c r="G9" s="4">
        <f>G4*P13</f>
        <v>63000</v>
      </c>
      <c r="H9" s="4">
        <f>H4*P13</f>
        <v>126000</v>
      </c>
      <c r="I9" s="4">
        <f>I4*P13</f>
        <v>189000</v>
      </c>
      <c r="J9" s="4">
        <f>J4*P13</f>
        <v>252000</v>
      </c>
      <c r="K9" s="4">
        <f>K4*P13</f>
        <v>378000</v>
      </c>
      <c r="L9" s="4">
        <f>L4*P13</f>
        <v>504000</v>
      </c>
      <c r="M9" s="4">
        <f>M4*P13</f>
        <v>630000</v>
      </c>
      <c r="O9" s="12"/>
      <c r="P9" s="14"/>
    </row>
    <row r="10" spans="1:16" x14ac:dyDescent="0.3">
      <c r="A10" t="s">
        <v>10</v>
      </c>
      <c r="B10" s="25">
        <f>B5*P14</f>
        <v>315</v>
      </c>
      <c r="C10" s="25">
        <f>C5*P14</f>
        <v>1575</v>
      </c>
      <c r="D10" s="25">
        <f>D5*P14</f>
        <v>3150</v>
      </c>
      <c r="E10" s="25">
        <f>E5*P14</f>
        <v>11025</v>
      </c>
      <c r="F10" s="25">
        <f>F5*P14</f>
        <v>22050</v>
      </c>
      <c r="G10" s="25">
        <f>G5*P14</f>
        <v>31500</v>
      </c>
      <c r="H10" s="25">
        <f>H5*P14</f>
        <v>63000</v>
      </c>
      <c r="I10" s="25">
        <f>I5*P14</f>
        <v>94500</v>
      </c>
      <c r="J10" s="25">
        <f>J5*P14</f>
        <v>126000</v>
      </c>
      <c r="K10" s="25">
        <f>K5*P14</f>
        <v>189000</v>
      </c>
      <c r="L10" s="25">
        <f>L5*P14</f>
        <v>252000</v>
      </c>
      <c r="M10" s="25">
        <f>M5*P14</f>
        <v>315000</v>
      </c>
      <c r="O10" s="10" t="s">
        <v>27</v>
      </c>
      <c r="P10" s="16"/>
    </row>
    <row r="11" spans="1:16" x14ac:dyDescent="0.3">
      <c r="A11" s="5" t="s">
        <v>7</v>
      </c>
      <c r="B11" s="23">
        <f t="shared" ref="B11:M11" si="0">SUM(B8:B10)</f>
        <v>1995</v>
      </c>
      <c r="C11" s="23">
        <f t="shared" si="0"/>
        <v>9975</v>
      </c>
      <c r="D11" s="23">
        <f t="shared" si="0"/>
        <v>19950</v>
      </c>
      <c r="E11" s="23">
        <f t="shared" si="0"/>
        <v>69825</v>
      </c>
      <c r="F11" s="23">
        <f t="shared" si="0"/>
        <v>139650</v>
      </c>
      <c r="G11" s="23">
        <f t="shared" si="0"/>
        <v>199500</v>
      </c>
      <c r="H11" s="23">
        <f t="shared" si="0"/>
        <v>399000</v>
      </c>
      <c r="I11" s="23">
        <f t="shared" si="0"/>
        <v>598500</v>
      </c>
      <c r="J11" s="23">
        <f t="shared" si="0"/>
        <v>798000</v>
      </c>
      <c r="K11" s="23">
        <f t="shared" si="0"/>
        <v>1197000</v>
      </c>
      <c r="L11" s="23">
        <f t="shared" si="0"/>
        <v>1596000</v>
      </c>
      <c r="M11" s="23">
        <f t="shared" si="0"/>
        <v>1995000</v>
      </c>
      <c r="O11" s="12" t="s">
        <v>5</v>
      </c>
      <c r="P11" s="13">
        <v>1.75</v>
      </c>
    </row>
    <row r="12" spans="1:16" x14ac:dyDescent="0.3">
      <c r="O12" s="12" t="s">
        <v>17</v>
      </c>
      <c r="P12" s="17">
        <v>0.01</v>
      </c>
    </row>
    <row r="13" spans="1:16" x14ac:dyDescent="0.3">
      <c r="B13" s="3"/>
      <c r="O13" s="12" t="s">
        <v>9</v>
      </c>
      <c r="P13" s="18">
        <v>3</v>
      </c>
    </row>
    <row r="14" spans="1:16" x14ac:dyDescent="0.3">
      <c r="A14" t="s">
        <v>28</v>
      </c>
      <c r="B14" s="3">
        <f>B3</f>
        <v>120</v>
      </c>
      <c r="C14" s="3">
        <f>C3-(B3*P17)</f>
        <v>516</v>
      </c>
      <c r="D14" s="3">
        <f>D3-(C3*P17)</f>
        <v>780</v>
      </c>
      <c r="E14" s="3">
        <f>E3-(D3*P17)</f>
        <v>3360</v>
      </c>
      <c r="F14" s="3">
        <f>F3-(E3*P17)</f>
        <v>5460</v>
      </c>
      <c r="G14" s="3">
        <f>G3-(F3*P17)</f>
        <v>6120</v>
      </c>
      <c r="H14" s="3">
        <f>H3-(G3*P17)</f>
        <v>15600</v>
      </c>
      <c r="I14" s="3">
        <f>I3-(H3*P17)</f>
        <v>19200</v>
      </c>
      <c r="J14" s="3">
        <f>J3-(I3*P17)</f>
        <v>22800</v>
      </c>
      <c r="K14" s="3">
        <f>K3-(J3*P17)</f>
        <v>38400</v>
      </c>
      <c r="L14" s="3">
        <f>L3-(K3*P17)</f>
        <v>45600</v>
      </c>
      <c r="M14" s="3">
        <f>M3-(L3*P17)</f>
        <v>52800</v>
      </c>
      <c r="O14" s="12" t="s">
        <v>10</v>
      </c>
      <c r="P14" s="15">
        <v>3.0000000000000001E-3</v>
      </c>
    </row>
    <row r="15" spans="1:16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12"/>
      <c r="P15" s="15"/>
    </row>
    <row r="16" spans="1:16" x14ac:dyDescent="0.3">
      <c r="A16" s="5" t="s">
        <v>29</v>
      </c>
      <c r="B16" s="3"/>
      <c r="O16" s="10" t="s">
        <v>12</v>
      </c>
      <c r="P16" s="19"/>
    </row>
    <row r="17" spans="1:16" x14ac:dyDescent="0.3">
      <c r="A17" t="s">
        <v>15</v>
      </c>
      <c r="B17" s="6">
        <f>B14*P18</f>
        <v>1200</v>
      </c>
      <c r="C17" s="6">
        <f>C14*P18</f>
        <v>5160</v>
      </c>
      <c r="D17" s="6">
        <f>D14*P18</f>
        <v>7800</v>
      </c>
      <c r="E17" s="6">
        <f>E14*P18</f>
        <v>33600</v>
      </c>
      <c r="F17" s="6">
        <f>F14*P18</f>
        <v>54600</v>
      </c>
      <c r="G17" s="6">
        <f>G14*P18</f>
        <v>61200</v>
      </c>
      <c r="H17" s="6">
        <f>H14*P18</f>
        <v>156000</v>
      </c>
      <c r="I17" s="6">
        <f>I14*P18</f>
        <v>192000</v>
      </c>
      <c r="J17" s="6">
        <f>J14*P18</f>
        <v>228000</v>
      </c>
      <c r="K17" s="6">
        <f>K14*P18</f>
        <v>384000</v>
      </c>
      <c r="L17" s="6">
        <f>L14*P18</f>
        <v>456000</v>
      </c>
      <c r="M17" s="6">
        <f>M14*P18</f>
        <v>528000</v>
      </c>
      <c r="O17" s="12" t="s">
        <v>13</v>
      </c>
      <c r="P17" s="17">
        <v>0.7</v>
      </c>
    </row>
    <row r="18" spans="1:16" x14ac:dyDescent="0.3">
      <c r="A18" t="s">
        <v>1</v>
      </c>
      <c r="B18" s="6">
        <f>B4*P19</f>
        <v>52.5</v>
      </c>
      <c r="C18" s="6">
        <f>C4*P19</f>
        <v>262.5</v>
      </c>
      <c r="D18" s="6">
        <f>D4*P19</f>
        <v>525</v>
      </c>
      <c r="E18" s="6">
        <f>E4*P19</f>
        <v>1837.5</v>
      </c>
      <c r="F18" s="6">
        <f>F4*P19</f>
        <v>3675</v>
      </c>
      <c r="G18" s="6">
        <f>G4*P19</f>
        <v>5250</v>
      </c>
      <c r="H18" s="6">
        <f>H4*P19</f>
        <v>10500</v>
      </c>
      <c r="I18" s="6">
        <f>I4*P19</f>
        <v>15750</v>
      </c>
      <c r="J18" s="6">
        <f>J4*P19</f>
        <v>21000</v>
      </c>
      <c r="K18" s="6">
        <f>K4*P19</f>
        <v>31500</v>
      </c>
      <c r="L18" s="6">
        <f>L4*P19</f>
        <v>42000</v>
      </c>
      <c r="M18" s="6">
        <f>M4*P19</f>
        <v>52500</v>
      </c>
      <c r="O18" s="12" t="s">
        <v>14</v>
      </c>
      <c r="P18" s="20">
        <v>10</v>
      </c>
    </row>
    <row r="19" spans="1:16" x14ac:dyDescent="0.3">
      <c r="A19" t="s">
        <v>18</v>
      </c>
      <c r="B19" s="6">
        <f>B5*P20</f>
        <v>34.520547945205479</v>
      </c>
      <c r="C19" s="6">
        <f>C5*P20</f>
        <v>172.60273972602741</v>
      </c>
      <c r="D19" s="6">
        <f>D5*P20</f>
        <v>345.20547945205482</v>
      </c>
      <c r="E19" s="6">
        <f>E5*P20</f>
        <v>1208.2191780821918</v>
      </c>
      <c r="F19" s="6">
        <f>F5*P20</f>
        <v>2416.4383561643835</v>
      </c>
      <c r="G19" s="6">
        <f>G5*P20</f>
        <v>3452.0547945205481</v>
      </c>
      <c r="H19" s="6">
        <f>H5*P20</f>
        <v>6904.1095890410961</v>
      </c>
      <c r="I19" s="6">
        <f>I5*P20</f>
        <v>10356.164383561643</v>
      </c>
      <c r="J19" s="6">
        <f>J5*P20</f>
        <v>13808.219178082192</v>
      </c>
      <c r="K19" s="6">
        <f>K5*P20</f>
        <v>20712.328767123287</v>
      </c>
      <c r="L19" s="6">
        <f>L5*P20</f>
        <v>27616.438356164384</v>
      </c>
      <c r="M19" s="6">
        <f>M5*P20</f>
        <v>34520.547945205479</v>
      </c>
      <c r="O19" s="12" t="s">
        <v>16</v>
      </c>
      <c r="P19" s="13">
        <v>0.25</v>
      </c>
    </row>
    <row r="20" spans="1:16" x14ac:dyDescent="0.3">
      <c r="A20" t="s">
        <v>19</v>
      </c>
      <c r="B20" s="6">
        <f>B4*P21</f>
        <v>63</v>
      </c>
      <c r="C20" s="6">
        <f>C4*P21</f>
        <v>315</v>
      </c>
      <c r="D20" s="6">
        <f>D4*P21</f>
        <v>630</v>
      </c>
      <c r="E20" s="6">
        <f>E4*P21</f>
        <v>2205</v>
      </c>
      <c r="F20" s="6">
        <f>F4*P21</f>
        <v>4410</v>
      </c>
      <c r="G20" s="6">
        <f>G4*P21</f>
        <v>6300</v>
      </c>
      <c r="H20" s="6">
        <f>H4*P21</f>
        <v>12600</v>
      </c>
      <c r="I20" s="6">
        <f>I4*P21</f>
        <v>18900</v>
      </c>
      <c r="J20" s="6">
        <f>J4*P21</f>
        <v>25200</v>
      </c>
      <c r="K20" s="6">
        <f>K4*P21</f>
        <v>37800</v>
      </c>
      <c r="L20" s="6">
        <f>L4*P21</f>
        <v>50400</v>
      </c>
      <c r="M20" s="6">
        <f>M4*P21</f>
        <v>63000</v>
      </c>
      <c r="O20" s="12" t="s">
        <v>18</v>
      </c>
      <c r="P20" s="15">
        <f>(12%/365)</f>
        <v>3.2876712328767124E-4</v>
      </c>
    </row>
    <row r="21" spans="1:16" x14ac:dyDescent="0.3">
      <c r="A21" t="s">
        <v>20</v>
      </c>
      <c r="B21" s="6">
        <f>1000*P22</f>
        <v>16300</v>
      </c>
      <c r="C21" s="6">
        <f>1000*P22</f>
        <v>16300</v>
      </c>
      <c r="D21" s="6">
        <f>1000*P22</f>
        <v>16300</v>
      </c>
      <c r="E21" s="6">
        <f>2000*P22</f>
        <v>32600</v>
      </c>
      <c r="F21" s="6">
        <f>2000*P22</f>
        <v>32600</v>
      </c>
      <c r="G21" s="6">
        <f>2000*P22</f>
        <v>32600</v>
      </c>
      <c r="H21" s="6">
        <f>2000*P22</f>
        <v>32600</v>
      </c>
      <c r="I21" s="6">
        <f>2000*P22</f>
        <v>32600</v>
      </c>
      <c r="J21" s="6">
        <f>5000*P22</f>
        <v>81500</v>
      </c>
      <c r="K21" s="6">
        <f>5000*P22</f>
        <v>81500</v>
      </c>
      <c r="L21" s="6">
        <f>5000*P22</f>
        <v>81500</v>
      </c>
      <c r="M21" s="6">
        <f>5000*P22</f>
        <v>81500</v>
      </c>
      <c r="O21" s="12" t="s">
        <v>19</v>
      </c>
      <c r="P21" s="18">
        <v>0.3</v>
      </c>
    </row>
    <row r="22" spans="1:16" x14ac:dyDescent="0.3">
      <c r="A22" s="5" t="s">
        <v>32</v>
      </c>
      <c r="B22" s="27">
        <f t="shared" ref="B22:M22" si="1">SUM(B17:B21)</f>
        <v>17650.020547945205</v>
      </c>
      <c r="C22" s="27">
        <f t="shared" si="1"/>
        <v>22210.102739726026</v>
      </c>
      <c r="D22" s="27">
        <f t="shared" si="1"/>
        <v>25600.205479452055</v>
      </c>
      <c r="E22" s="27">
        <f t="shared" si="1"/>
        <v>71450.719178082189</v>
      </c>
      <c r="F22" s="27">
        <f t="shared" si="1"/>
        <v>97701.438356164377</v>
      </c>
      <c r="G22" s="27">
        <f t="shared" si="1"/>
        <v>108802.05479452055</v>
      </c>
      <c r="H22" s="27">
        <f t="shared" si="1"/>
        <v>218604.10958904109</v>
      </c>
      <c r="I22" s="27">
        <f t="shared" si="1"/>
        <v>269606.16438356164</v>
      </c>
      <c r="J22" s="27">
        <f t="shared" si="1"/>
        <v>369508.21917808219</v>
      </c>
      <c r="K22" s="27">
        <f t="shared" si="1"/>
        <v>555512.32876712328</v>
      </c>
      <c r="L22" s="27">
        <f t="shared" si="1"/>
        <v>657516.43835616438</v>
      </c>
      <c r="M22" s="27">
        <f t="shared" si="1"/>
        <v>759520.54794520547</v>
      </c>
      <c r="O22" s="12" t="s">
        <v>21</v>
      </c>
      <c r="P22" s="18">
        <v>16.3</v>
      </c>
    </row>
    <row r="23" spans="1:16" ht="15" thickBot="1" x14ac:dyDescent="0.35"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O23" s="21" t="s">
        <v>22</v>
      </c>
      <c r="P23" s="22">
        <f>(8*500)*P22</f>
        <v>65200</v>
      </c>
    </row>
    <row r="24" spans="1:16" ht="15" thickBot="1" x14ac:dyDescent="0.35">
      <c r="A24" s="5" t="s">
        <v>31</v>
      </c>
      <c r="B24" s="29">
        <f>B11-B22</f>
        <v>-15655.020547945205</v>
      </c>
      <c r="C24" s="29">
        <f t="shared" ref="C24:M24" si="2">C11-C22</f>
        <v>-12235.102739726026</v>
      </c>
      <c r="D24" s="29">
        <f t="shared" si="2"/>
        <v>-5650.2054794520554</v>
      </c>
      <c r="E24" s="29">
        <f t="shared" si="2"/>
        <v>-1625.7191780821886</v>
      </c>
      <c r="F24" s="29">
        <f t="shared" si="2"/>
        <v>41948.561643835623</v>
      </c>
      <c r="G24" s="29">
        <f t="shared" si="2"/>
        <v>90697.945205479453</v>
      </c>
      <c r="H24" s="29">
        <f t="shared" si="2"/>
        <v>180395.89041095891</v>
      </c>
      <c r="I24" s="29">
        <f t="shared" si="2"/>
        <v>328893.83561643836</v>
      </c>
      <c r="J24" s="29">
        <f t="shared" si="2"/>
        <v>428491.78082191781</v>
      </c>
      <c r="K24" s="29">
        <f t="shared" si="2"/>
        <v>641487.67123287672</v>
      </c>
      <c r="L24" s="29">
        <f t="shared" si="2"/>
        <v>938483.56164383562</v>
      </c>
      <c r="M24" s="29">
        <f t="shared" si="2"/>
        <v>1235479.4520547944</v>
      </c>
    </row>
    <row r="25" spans="1:16" ht="15" thickTop="1" x14ac:dyDescent="0.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6" x14ac:dyDescent="0.3">
      <c r="A26" s="5" t="s">
        <v>30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6" x14ac:dyDescent="0.3">
      <c r="A27" t="s">
        <v>22</v>
      </c>
      <c r="B27" s="6">
        <v>65200</v>
      </c>
      <c r="C27" s="6">
        <v>65200</v>
      </c>
      <c r="D27" s="6">
        <v>65200</v>
      </c>
      <c r="E27" s="6">
        <v>65200</v>
      </c>
      <c r="F27" s="6">
        <v>65200</v>
      </c>
      <c r="G27" s="6">
        <v>65200</v>
      </c>
      <c r="H27" s="6">
        <v>65200</v>
      </c>
      <c r="I27" s="6">
        <v>65200</v>
      </c>
      <c r="J27" s="6">
        <v>65200</v>
      </c>
      <c r="K27" s="6">
        <v>65200</v>
      </c>
      <c r="L27" s="6">
        <v>65200</v>
      </c>
      <c r="M27" s="6">
        <v>65200</v>
      </c>
    </row>
    <row r="28" spans="1:16" x14ac:dyDescent="0.3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6" x14ac:dyDescent="0.3">
      <c r="A29" s="7" t="s">
        <v>23</v>
      </c>
      <c r="B29" s="27">
        <f>B22+B27</f>
        <v>82850.020547945198</v>
      </c>
      <c r="C29" s="27">
        <f t="shared" ref="C29:M29" si="3">C22+C27</f>
        <v>87410.102739726019</v>
      </c>
      <c r="D29" s="27">
        <f t="shared" si="3"/>
        <v>90800.205479452052</v>
      </c>
      <c r="E29" s="27">
        <f t="shared" si="3"/>
        <v>136650.71917808219</v>
      </c>
      <c r="F29" s="27">
        <f t="shared" si="3"/>
        <v>162901.43835616438</v>
      </c>
      <c r="G29" s="27">
        <f t="shared" si="3"/>
        <v>174002.05479452055</v>
      </c>
      <c r="H29" s="27">
        <f t="shared" si="3"/>
        <v>283804.10958904109</v>
      </c>
      <c r="I29" s="27">
        <f t="shared" si="3"/>
        <v>334806.16438356164</v>
      </c>
      <c r="J29" s="27">
        <f t="shared" si="3"/>
        <v>434708.21917808219</v>
      </c>
      <c r="K29" s="27">
        <f t="shared" si="3"/>
        <v>620712.32876712328</v>
      </c>
      <c r="L29" s="27">
        <f t="shared" si="3"/>
        <v>722716.43835616438</v>
      </c>
      <c r="M29" s="27">
        <f t="shared" si="3"/>
        <v>824720.54794520547</v>
      </c>
    </row>
    <row r="30" spans="1:16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6" ht="15" thickBot="1" x14ac:dyDescent="0.35">
      <c r="A31" s="5" t="s">
        <v>24</v>
      </c>
      <c r="B31" s="24">
        <f t="shared" ref="B31:M31" si="4">B11-B29</f>
        <v>-80855.020547945198</v>
      </c>
      <c r="C31" s="24">
        <f t="shared" si="4"/>
        <v>-77435.102739726019</v>
      </c>
      <c r="D31" s="24">
        <f t="shared" si="4"/>
        <v>-70850.205479452052</v>
      </c>
      <c r="E31" s="24">
        <f t="shared" si="4"/>
        <v>-66825.719178082189</v>
      </c>
      <c r="F31" s="24">
        <f t="shared" si="4"/>
        <v>-23251.438356164377</v>
      </c>
      <c r="G31" s="24">
        <f t="shared" si="4"/>
        <v>25497.945205479453</v>
      </c>
      <c r="H31" s="24">
        <f t="shared" si="4"/>
        <v>115195.89041095891</v>
      </c>
      <c r="I31" s="24">
        <f t="shared" si="4"/>
        <v>263693.83561643836</v>
      </c>
      <c r="J31" s="24">
        <f t="shared" si="4"/>
        <v>363291.78082191781</v>
      </c>
      <c r="K31" s="24">
        <f t="shared" si="4"/>
        <v>576287.67123287672</v>
      </c>
      <c r="L31" s="24">
        <f t="shared" si="4"/>
        <v>873283.56164383562</v>
      </c>
      <c r="M31" s="24">
        <f t="shared" si="4"/>
        <v>1170279.4520547944</v>
      </c>
    </row>
    <row r="32" spans="1:16" ht="15" thickTop="1" x14ac:dyDescent="0.3"/>
  </sheetData>
  <mergeCells count="1">
    <mergeCell ref="O2:P2"/>
  </mergeCells>
  <phoneticPr fontId="4" type="noConversion"/>
  <pageMargins left="0.7" right="0.7" top="0.75" bottom="0.75" header="0.3" footer="0.3"/>
  <headerFooter>
    <oddHeader>&amp;L&amp;"Aptos"&amp;9&amp;K000000 Bitexen Hassas&amp;1#_x000D_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Diuga</dc:creator>
  <cp:lastModifiedBy>Matthew McGuire</cp:lastModifiedBy>
  <dcterms:created xsi:type="dcterms:W3CDTF">2026-02-26T07:45:59Z</dcterms:created>
  <dcterms:modified xsi:type="dcterms:W3CDTF">2026-06-29T08:09:03Z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d1888d-f9f9-472c-9a5c-382435571ae3_Enabled">
    <vt:lpwstr>true</vt:lpwstr>
  </property>
  <property fmtid="{D5CDD505-2E9C-101B-9397-08002B2CF9AE}" pid="3" name="MSIP_Label_1bd1888d-f9f9-472c-9a5c-382435571ae3_SetDate">
    <vt:lpwstr>2026-06-29T08:09:02Z</vt:lpwstr>
  </property>
  <property fmtid="{D5CDD505-2E9C-101B-9397-08002B2CF9AE}" pid="4" name="MSIP_Label_1bd1888d-f9f9-472c-9a5c-382435571ae3_Method">
    <vt:lpwstr>Standard</vt:lpwstr>
  </property>
  <property fmtid="{D5CDD505-2E9C-101B-9397-08002B2CF9AE}" pid="5" name="MSIP_Label_1bd1888d-f9f9-472c-9a5c-382435571ae3_Name">
    <vt:lpwstr>Kurum İçi</vt:lpwstr>
  </property>
  <property fmtid="{D5CDD505-2E9C-101B-9397-08002B2CF9AE}" pid="6" name="MSIP_Label_1bd1888d-f9f9-472c-9a5c-382435571ae3_SiteId">
    <vt:lpwstr>fe4db552-4df0-4331-bb35-09d4474eb47a</vt:lpwstr>
  </property>
  <property fmtid="{D5CDD505-2E9C-101B-9397-08002B2CF9AE}" pid="7" name="MSIP_Label_1bd1888d-f9f9-472c-9a5c-382435571ae3_ActionId">
    <vt:lpwstr>4c3f21a2-49e4-46e8-8dfa-dd648bdf2fe1</vt:lpwstr>
  </property>
  <property fmtid="{D5CDD505-2E9C-101B-9397-08002B2CF9AE}" pid="8" name="MSIP_Label_1bd1888d-f9f9-472c-9a5c-382435571ae3_ContentBits">
    <vt:lpwstr>1</vt:lpwstr>
  </property>
  <property fmtid="{D5CDD505-2E9C-101B-9397-08002B2CF9AE}" pid="9" name="MSIP_Label_1bd1888d-f9f9-472c-9a5c-382435571ae3_Tag">
    <vt:lpwstr>10, 3, 0, 1</vt:lpwstr>
  </property>
</Properties>
</file>